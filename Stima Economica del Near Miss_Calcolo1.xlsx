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ge1\Desktop\Modifiche\"/>
    </mc:Choice>
  </mc:AlternateContent>
  <xr:revisionPtr revIDLastSave="0" documentId="8_{76DA8CFD-C27D-41FC-8355-25648B0B1C4C}" xr6:coauthVersionLast="47" xr6:coauthVersionMax="47" xr10:uidLastSave="{00000000-0000-0000-0000-000000000000}"/>
  <bookViews>
    <workbookView xWindow="-120" yWindow="-120" windowWidth="20730" windowHeight="11160" xr2:uid="{ABC23EB5-025F-4D4D-898A-8CFFB2EB73A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E25" i="1"/>
  <c r="E24" i="1"/>
  <c r="E23" i="1"/>
  <c r="E22" i="1"/>
  <c r="E21" i="1"/>
  <c r="E20" i="1"/>
  <c r="E19" i="1"/>
  <c r="E18" i="1"/>
  <c r="E17" i="1"/>
  <c r="E15" i="1"/>
  <c r="E16" i="1"/>
  <c r="E14" i="1"/>
  <c r="E13" i="1"/>
  <c r="E12" i="1"/>
  <c r="E11" i="1"/>
  <c r="E5" i="1"/>
  <c r="E4" i="1"/>
  <c r="E3" i="1"/>
  <c r="E2" i="1"/>
  <c r="D9" i="1"/>
  <c r="E10" i="1" l="1"/>
  <c r="E26" i="1" s="1"/>
</calcChain>
</file>

<file path=xl/sharedStrings.xml><?xml version="1.0" encoding="utf-8"?>
<sst xmlns="http://schemas.openxmlformats.org/spreadsheetml/2006/main" count="56" uniqueCount="51">
  <si>
    <t>Tipologia</t>
  </si>
  <si>
    <t>Sottocategoria</t>
  </si>
  <si>
    <t>Stima economica costo</t>
  </si>
  <si>
    <t>Ricambio attrezzatura</t>
  </si>
  <si>
    <t>Ricambio pezzo macchinario</t>
  </si>
  <si>
    <t>Cambio attrezzatura</t>
  </si>
  <si>
    <t>Cambio Macchinario</t>
  </si>
  <si>
    <t>Manodopera</t>
  </si>
  <si>
    <t xml:space="preserve">Percentuale di indennità </t>
  </si>
  <si>
    <t>RAL per mansione</t>
  </si>
  <si>
    <t>Formazione neoassunto</t>
  </si>
  <si>
    <t>Addestramento personale.</t>
  </si>
  <si>
    <t>Materiali</t>
  </si>
  <si>
    <t>Carta</t>
  </si>
  <si>
    <t>Amido</t>
  </si>
  <si>
    <t>DPI</t>
  </si>
  <si>
    <t>Immobiliare</t>
  </si>
  <si>
    <t>Vari</t>
  </si>
  <si>
    <t>Metodo</t>
  </si>
  <si>
    <t>Nuova procedura-istruzione</t>
  </si>
  <si>
    <t>Periodo adattamento</t>
  </si>
  <si>
    <t>Redistribuzione aziendale</t>
  </si>
  <si>
    <t>Vendite</t>
  </si>
  <si>
    <t>Diminuzione delle vendite del 1% rispetto all’anno precedente</t>
  </si>
  <si>
    <t>Diminuzione del fatturato del 5% rispetto all’anno precedente</t>
  </si>
  <si>
    <t>Reputazione</t>
  </si>
  <si>
    <t>Diminuzione del fatturato del 10% rispetto all’anno precedente</t>
  </si>
  <si>
    <t>Diminuzione del fatturato del 15% rispetto all’anno precedente</t>
  </si>
  <si>
    <t>TOTALE</t>
  </si>
  <si>
    <t>Infortunio sul lavoro 1gg</t>
  </si>
  <si>
    <t>Infortunio sul lavoro 2&lt;4gg</t>
  </si>
  <si>
    <t>Infortunio sul lavoro &gt;=5gg</t>
  </si>
  <si>
    <t>Sì</t>
  </si>
  <si>
    <t>Costo Sottocategoria</t>
  </si>
  <si>
    <t>B2</t>
  </si>
  <si>
    <t>Macchinari</t>
  </si>
  <si>
    <t>Classificazione</t>
  </si>
  <si>
    <t>Sanzioni</t>
  </si>
  <si>
    <t>E</t>
  </si>
  <si>
    <t>D2</t>
  </si>
  <si>
    <t>D1</t>
  </si>
  <si>
    <t>C3</t>
  </si>
  <si>
    <t>C2</t>
  </si>
  <si>
    <t>C1</t>
  </si>
  <si>
    <t>C1S</t>
  </si>
  <si>
    <t>B2S</t>
  </si>
  <si>
    <t>B1</t>
  </si>
  <si>
    <t>A</t>
  </si>
  <si>
    <t>AS</t>
  </si>
  <si>
    <t>Q</t>
  </si>
  <si>
    <t>CERCA.X(D2;$XFC$1048564:$XFC$1048576; $XFD$1048564:$XFD$1048564; "Parametro non trovato")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</si>
</sst>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11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 vertical="top" wrapText="1"/>
    </xf>
    <xf numFmtId="0" fontId="4" fillId="0" borderId="3" xfId="0" applyFont="1" applyBorder="1"/>
    <xf numFmtId="0" fontId="0" fillId="0" borderId="17" xfId="0" applyBorder="1" applyAlignment="1">
      <alignment wrapText="1"/>
    </xf>
    <xf numFmtId="0" fontId="0" fillId="0" borderId="17" xfId="0" applyBorder="1"/>
    <xf numFmtId="44" fontId="0" fillId="0" borderId="15" xfId="1" applyFont="1" applyBorder="1"/>
    <xf numFmtId="44" fontId="0" fillId="0" borderId="3" xfId="1" applyFont="1" applyBorder="1"/>
    <xf numFmtId="44" fontId="0" fillId="0" borderId="4" xfId="1" applyFont="1" applyBorder="1"/>
    <xf numFmtId="44" fontId="0" fillId="0" borderId="1" xfId="1" applyFont="1" applyBorder="1"/>
    <xf numFmtId="44" fontId="0" fillId="0" borderId="6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11" xfId="1" applyFont="1" applyBorder="1"/>
    <xf numFmtId="44" fontId="0" fillId="0" borderId="12" xfId="1" applyFont="1" applyBorder="1"/>
    <xf numFmtId="44" fontId="0" fillId="0" borderId="17" xfId="1" applyFont="1" applyBorder="1"/>
    <xf numFmtId="44" fontId="0" fillId="0" borderId="18" xfId="1" applyFont="1" applyBorder="1"/>
    <xf numFmtId="49" fontId="0" fillId="0" borderId="3" xfId="1" applyNumberFormat="1" applyFont="1" applyBorder="1"/>
    <xf numFmtId="49" fontId="0" fillId="0" borderId="1" xfId="1" applyNumberFormat="1" applyFont="1" applyBorder="1"/>
    <xf numFmtId="44" fontId="0" fillId="0" borderId="0" xfId="0" applyNumberFormat="1"/>
    <xf numFmtId="2" fontId="0" fillId="0" borderId="1" xfId="1" applyNumberFormat="1" applyFont="1" applyBorder="1"/>
    <xf numFmtId="44" fontId="0" fillId="0" borderId="8" xfId="1" applyFont="1" applyBorder="1" applyAlignment="1">
      <alignment wrapText="1"/>
    </xf>
    <xf numFmtId="44" fontId="0" fillId="0" borderId="17" xfId="1" applyFont="1" applyBorder="1" applyAlignment="1">
      <alignment wrapText="1"/>
    </xf>
    <xf numFmtId="44" fontId="0" fillId="0" borderId="19" xfId="1" applyFont="1" applyBorder="1"/>
    <xf numFmtId="0" fontId="2" fillId="0" borderId="20" xfId="0" applyFont="1" applyBorder="1"/>
    <xf numFmtId="0" fontId="0" fillId="0" borderId="21" xfId="0" applyBorder="1"/>
    <xf numFmtId="44" fontId="2" fillId="0" borderId="22" xfId="1" applyFont="1" applyBorder="1"/>
    <xf numFmtId="0" fontId="0" fillId="0" borderId="3" xfId="0" applyBorder="1" applyAlignment="1">
      <alignment vertical="top" wrapText="1"/>
    </xf>
    <xf numFmtId="44" fontId="0" fillId="0" borderId="3" xfId="1" applyFont="1" applyBorder="1" applyAlignment="1">
      <alignment vertical="top" wrapText="1"/>
    </xf>
    <xf numFmtId="0" fontId="5" fillId="0" borderId="13" xfId="0" applyFont="1" applyBorder="1" applyAlignment="1">
      <alignment horizontal="center" vertical="center"/>
    </xf>
    <xf numFmtId="0" fontId="0" fillId="0" borderId="14" xfId="0" applyBorder="1" applyAlignment="1">
      <alignment wrapText="1"/>
    </xf>
    <xf numFmtId="44" fontId="0" fillId="0" borderId="14" xfId="1" applyFont="1" applyBorder="1" applyAlignment="1">
      <alignment wrapText="1"/>
    </xf>
    <xf numFmtId="44" fontId="0" fillId="0" borderId="14" xfId="1" applyFont="1" applyBorder="1"/>
    <xf numFmtId="44" fontId="4" fillId="0" borderId="11" xfId="1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0" xfId="0" quotePrefix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F98C-365D-4D6C-B18F-4A7BDA890337}">
  <dimension ref="A1:XFD1048576"/>
  <sheetViews>
    <sheetView tabSelected="1" workbookViewId="0">
      <selection activeCell="H2" sqref="H2"/>
    </sheetView>
  </sheetViews>
  <sheetFormatPr defaultRowHeight="15" x14ac:dyDescent="0.25"/>
  <cols>
    <col min="1" max="1" width="12.140625" bestFit="1" customWidth="1"/>
    <col min="2" max="2" width="27.140625" bestFit="1" customWidth="1"/>
    <col min="3" max="3" width="27.140625" customWidth="1"/>
    <col min="4" max="4" width="20.28515625" customWidth="1"/>
    <col min="5" max="5" width="22" bestFit="1" customWidth="1"/>
  </cols>
  <sheetData>
    <row r="1" spans="1:10" ht="15.75" thickBot="1" x14ac:dyDescent="0.3">
      <c r="A1" s="5" t="s">
        <v>0</v>
      </c>
      <c r="B1" s="6" t="s">
        <v>1</v>
      </c>
      <c r="C1" s="6" t="s">
        <v>36</v>
      </c>
      <c r="D1" s="6" t="s">
        <v>33</v>
      </c>
      <c r="E1" s="7" t="s">
        <v>2</v>
      </c>
    </row>
    <row r="2" spans="1:10" x14ac:dyDescent="0.25">
      <c r="A2" s="42" t="s">
        <v>35</v>
      </c>
      <c r="B2" s="2" t="s">
        <v>3</v>
      </c>
      <c r="C2" s="2"/>
      <c r="D2" s="15">
        <v>2500</v>
      </c>
      <c r="E2" s="16">
        <f>D2</f>
        <v>2500</v>
      </c>
    </row>
    <row r="3" spans="1:10" x14ac:dyDescent="0.25">
      <c r="A3" s="43"/>
      <c r="B3" s="1" t="s">
        <v>4</v>
      </c>
      <c r="C3" s="1"/>
      <c r="D3" s="17"/>
      <c r="E3" s="18">
        <f>D3</f>
        <v>0</v>
      </c>
    </row>
    <row r="4" spans="1:10" x14ac:dyDescent="0.25">
      <c r="A4" s="43"/>
      <c r="B4" s="1" t="s">
        <v>5</v>
      </c>
      <c r="C4" s="1"/>
      <c r="D4" s="17"/>
      <c r="E4" s="18">
        <f>D4</f>
        <v>0</v>
      </c>
    </row>
    <row r="5" spans="1:10" ht="15.75" thickBot="1" x14ac:dyDescent="0.3">
      <c r="A5" s="44"/>
      <c r="B5" s="13" t="s">
        <v>6</v>
      </c>
      <c r="C5" s="13"/>
      <c r="D5" s="23"/>
      <c r="E5" s="24">
        <f>D5</f>
        <v>0</v>
      </c>
    </row>
    <row r="6" spans="1:10" x14ac:dyDescent="0.25">
      <c r="A6" s="42" t="s">
        <v>7</v>
      </c>
      <c r="B6" s="2" t="s">
        <v>29</v>
      </c>
      <c r="C6" s="2"/>
      <c r="D6" s="25" t="s">
        <v>32</v>
      </c>
      <c r="E6" s="16"/>
    </row>
    <row r="7" spans="1:10" x14ac:dyDescent="0.25">
      <c r="A7" s="43"/>
      <c r="B7" s="1" t="s">
        <v>30</v>
      </c>
      <c r="C7" s="1"/>
      <c r="D7" s="26"/>
      <c r="E7" s="18"/>
    </row>
    <row r="8" spans="1:10" x14ac:dyDescent="0.25">
      <c r="A8" s="43"/>
      <c r="B8" s="1" t="s">
        <v>31</v>
      </c>
      <c r="C8" s="1"/>
      <c r="D8" s="26"/>
      <c r="E8" s="18"/>
    </row>
    <row r="9" spans="1:10" x14ac:dyDescent="0.25">
      <c r="A9" s="43"/>
      <c r="B9" s="1" t="s">
        <v>8</v>
      </c>
      <c r="C9" s="1"/>
      <c r="D9" s="28">
        <f>IF(ISTEXT(D6),100%,
   IF(ISTEXT(D7),40%,
      IF(ISTEXT(D8),25%,
         ""
      )
   )
)</f>
        <v>1</v>
      </c>
      <c r="E9" s="18"/>
    </row>
    <row r="10" spans="1:10" ht="15.75" thickBot="1" x14ac:dyDescent="0.3">
      <c r="A10" s="43"/>
      <c r="B10" s="4" t="s">
        <v>9</v>
      </c>
      <c r="C10" s="4" t="s">
        <v>34</v>
      </c>
      <c r="D10" s="19">
        <f>IF(C10="Q",2882.91,
IF(C10="AS",2873.55,
IF(C10="A",2521.8,
IF(C10="B1",2292.49,
IF(C10="B2S",2234.61,
IF(C10="B2",2159.89,
IF(C10="C1S",2034.87,
IF(C10="C1",1960.11,
IF(C10="C2",1826.94,
IF(C10="C3",1732.11,
IF(C10="D1",1656.25,
IF(C10="D2",1561.08,
IF(C10="E",1456.61)))))))))))))</f>
        <v>2159.89</v>
      </c>
      <c r="E10" s="20">
        <f>IF(D9=0.4, (D10/30)*3*D9+D10/30,
   IF(D9=1, (D10/30)*1*D9,
      IF(D9=0.25, (D10/30)*4*D9+D10/30, "")
   )
)</f>
        <v>71.996333333333325</v>
      </c>
      <c r="I10" s="27"/>
      <c r="J10" s="27"/>
    </row>
    <row r="11" spans="1:10" ht="15.75" x14ac:dyDescent="0.25">
      <c r="A11" s="43"/>
      <c r="B11" s="9" t="s">
        <v>10</v>
      </c>
      <c r="C11" s="9"/>
      <c r="D11" s="21"/>
      <c r="E11" s="22">
        <f>D11</f>
        <v>0</v>
      </c>
    </row>
    <row r="12" spans="1:10" ht="15.75" thickBot="1" x14ac:dyDescent="0.3">
      <c r="A12" s="45"/>
      <c r="B12" s="4" t="s">
        <v>11</v>
      </c>
      <c r="C12" s="4"/>
      <c r="D12" s="19"/>
      <c r="E12" s="20">
        <f>D12</f>
        <v>0</v>
      </c>
    </row>
    <row r="13" spans="1:10" ht="15.75" x14ac:dyDescent="0.25">
      <c r="A13" s="46" t="s">
        <v>12</v>
      </c>
      <c r="B13" s="8" t="s">
        <v>13</v>
      </c>
      <c r="C13" s="8"/>
      <c r="D13" s="21"/>
      <c r="E13" s="22">
        <f>D13</f>
        <v>0</v>
      </c>
    </row>
    <row r="14" spans="1:10" x14ac:dyDescent="0.25">
      <c r="A14" s="43"/>
      <c r="B14" s="1" t="s">
        <v>14</v>
      </c>
      <c r="C14" s="1"/>
      <c r="D14" s="17"/>
      <c r="E14" s="18">
        <f>D14</f>
        <v>0</v>
      </c>
    </row>
    <row r="15" spans="1:10" x14ac:dyDescent="0.25">
      <c r="A15" s="43"/>
      <c r="B15" s="1" t="s">
        <v>15</v>
      </c>
      <c r="C15" s="1"/>
      <c r="D15" s="17"/>
      <c r="E15" s="18">
        <f t="shared" ref="E15:E16" si="0">D15</f>
        <v>0</v>
      </c>
    </row>
    <row r="16" spans="1:10" x14ac:dyDescent="0.25">
      <c r="A16" s="43"/>
      <c r="B16" s="1" t="s">
        <v>16</v>
      </c>
      <c r="C16" s="1"/>
      <c r="D16" s="17"/>
      <c r="E16" s="18">
        <f t="shared" si="0"/>
        <v>0</v>
      </c>
    </row>
    <row r="17" spans="1:5" ht="15.75" thickBot="1" x14ac:dyDescent="0.3">
      <c r="A17" s="45"/>
      <c r="B17" s="4" t="s">
        <v>17</v>
      </c>
      <c r="C17" s="4"/>
      <c r="D17" s="19"/>
      <c r="E17" s="20">
        <f>D17</f>
        <v>0</v>
      </c>
    </row>
    <row r="18" spans="1:5" ht="15.75" x14ac:dyDescent="0.25">
      <c r="A18" s="42" t="s">
        <v>18</v>
      </c>
      <c r="B18" s="11" t="s">
        <v>19</v>
      </c>
      <c r="C18" s="11"/>
      <c r="D18" s="15"/>
      <c r="E18" s="16">
        <f>D18</f>
        <v>0</v>
      </c>
    </row>
    <row r="19" spans="1:5" x14ac:dyDescent="0.25">
      <c r="A19" s="43"/>
      <c r="B19" s="1" t="s">
        <v>20</v>
      </c>
      <c r="C19" s="1"/>
      <c r="D19" s="17"/>
      <c r="E19" s="18">
        <f>D19</f>
        <v>0</v>
      </c>
    </row>
    <row r="20" spans="1:5" ht="15.75" thickBot="1" x14ac:dyDescent="0.3">
      <c r="A20" s="45"/>
      <c r="B20" s="4" t="s">
        <v>21</v>
      </c>
      <c r="C20" s="4"/>
      <c r="D20" s="19"/>
      <c r="E20" s="20">
        <f>D20</f>
        <v>0</v>
      </c>
    </row>
    <row r="21" spans="1:5" ht="47.25" x14ac:dyDescent="0.25">
      <c r="A21" s="47" t="s">
        <v>22</v>
      </c>
      <c r="B21" s="10" t="s">
        <v>23</v>
      </c>
      <c r="C21" s="41" t="s">
        <v>32</v>
      </c>
      <c r="D21" s="21">
        <v>1000000</v>
      </c>
      <c r="E21" s="31">
        <f>IF(C21="Sì",D21*1/100,0)</f>
        <v>10000</v>
      </c>
    </row>
    <row r="22" spans="1:5" ht="45.75" thickBot="1" x14ac:dyDescent="0.3">
      <c r="A22" s="48"/>
      <c r="B22" s="12" t="s">
        <v>24</v>
      </c>
      <c r="C22" s="30" t="s">
        <v>32</v>
      </c>
      <c r="D22" s="23">
        <v>1000000</v>
      </c>
      <c r="E22" s="24">
        <f>IF(C22="Sì",D22*5/100,0)</f>
        <v>50000</v>
      </c>
    </row>
    <row r="23" spans="1:5" ht="45" x14ac:dyDescent="0.25">
      <c r="A23" s="42" t="s">
        <v>25</v>
      </c>
      <c r="B23" s="35" t="s">
        <v>26</v>
      </c>
      <c r="C23" s="36" t="s">
        <v>32</v>
      </c>
      <c r="D23" s="15">
        <v>1000000</v>
      </c>
      <c r="E23" s="16">
        <f>IF(C23="Sì",D23*10/100,0)</f>
        <v>100000</v>
      </c>
    </row>
    <row r="24" spans="1:5" ht="45.75" thickBot="1" x14ac:dyDescent="0.3">
      <c r="A24" s="45"/>
      <c r="B24" s="3" t="s">
        <v>27</v>
      </c>
      <c r="C24" s="29" t="s">
        <v>32</v>
      </c>
      <c r="D24" s="19">
        <v>1000000</v>
      </c>
      <c r="E24" s="20">
        <f>IF(C24="Sì",D24*15/100,0)</f>
        <v>150000</v>
      </c>
    </row>
    <row r="25" spans="1:5" ht="15.75" thickBot="1" x14ac:dyDescent="0.3">
      <c r="A25" s="37" t="s">
        <v>37</v>
      </c>
      <c r="B25" s="38"/>
      <c r="C25" s="39"/>
      <c r="D25" s="40">
        <v>5000</v>
      </c>
      <c r="E25" s="14">
        <f>D25</f>
        <v>5000</v>
      </c>
    </row>
    <row r="26" spans="1:5" ht="15.75" thickBot="1" x14ac:dyDescent="0.3">
      <c r="A26" s="32" t="s">
        <v>28</v>
      </c>
      <c r="B26" s="33"/>
      <c r="C26" s="33"/>
      <c r="D26" s="33"/>
      <c r="E26" s="34">
        <f>SUM(E2:E25)</f>
        <v>317571.99633333331</v>
      </c>
    </row>
    <row r="1048564" spans="16380:16384" x14ac:dyDescent="0.25">
      <c r="XEZ1048564" s="49" t="s">
        <v>50</v>
      </c>
      <c r="XFC1048564" t="s">
        <v>49</v>
      </c>
      <c r="XFD1048564">
        <v>2882.91</v>
      </c>
    </row>
    <row r="1048565" spans="16380:16384" x14ac:dyDescent="0.25">
      <c r="XFC1048565" t="s">
        <v>48</v>
      </c>
      <c r="XFD1048565">
        <v>2873.55</v>
      </c>
    </row>
    <row r="1048566" spans="16380:16384" x14ac:dyDescent="0.25">
      <c r="XFC1048566" t="s">
        <v>47</v>
      </c>
      <c r="XFD1048566">
        <v>2521.8000000000002</v>
      </c>
    </row>
    <row r="1048567" spans="16380:16384" x14ac:dyDescent="0.25">
      <c r="XFC1048567" t="s">
        <v>46</v>
      </c>
      <c r="XFD1048567">
        <v>2292.4899999999998</v>
      </c>
    </row>
    <row r="1048568" spans="16380:16384" x14ac:dyDescent="0.25">
      <c r="XFC1048568" t="s">
        <v>45</v>
      </c>
      <c r="XFD1048568">
        <v>2234.61</v>
      </c>
    </row>
    <row r="1048569" spans="16380:16384" x14ac:dyDescent="0.25">
      <c r="XFC1048569" t="s">
        <v>34</v>
      </c>
      <c r="XFD1048569">
        <v>2159.89</v>
      </c>
    </row>
    <row r="1048570" spans="16380:16384" x14ac:dyDescent="0.25">
      <c r="XFC1048570" t="s">
        <v>44</v>
      </c>
      <c r="XFD1048570">
        <v>2034.87</v>
      </c>
    </row>
    <row r="1048571" spans="16380:16384" x14ac:dyDescent="0.25">
      <c r="XFC1048571" t="s">
        <v>43</v>
      </c>
      <c r="XFD1048571">
        <v>1960.11</v>
      </c>
    </row>
    <row r="1048572" spans="16380:16384" x14ac:dyDescent="0.25">
      <c r="XFC1048572" t="s">
        <v>42</v>
      </c>
      <c r="XFD1048572">
        <v>1826.94</v>
      </c>
    </row>
    <row r="1048573" spans="16380:16384" x14ac:dyDescent="0.25">
      <c r="XFC1048573" t="s">
        <v>41</v>
      </c>
      <c r="XFD1048573">
        <v>1732.11</v>
      </c>
    </row>
    <row r="1048574" spans="16380:16384" x14ac:dyDescent="0.25">
      <c r="XFC1048574" t="s">
        <v>40</v>
      </c>
      <c r="XFD1048574">
        <v>1656.25</v>
      </c>
    </row>
    <row r="1048575" spans="16380:16384" x14ac:dyDescent="0.25">
      <c r="XFC1048575" t="s">
        <v>39</v>
      </c>
      <c r="XFD1048575">
        <v>1561.08</v>
      </c>
    </row>
    <row r="1048576" spans="16380:16384" x14ac:dyDescent="0.25">
      <c r="XFC1048576" t="s">
        <v>38</v>
      </c>
      <c r="XFD1048576">
        <v>1456.61</v>
      </c>
    </row>
  </sheetData>
  <mergeCells count="6">
    <mergeCell ref="A23:A24"/>
    <mergeCell ref="A2:A5"/>
    <mergeCell ref="A6:A12"/>
    <mergeCell ref="A13:A17"/>
    <mergeCell ref="A18:A20"/>
    <mergeCell ref="A21:A22"/>
  </mergeCells>
  <dataValidations count="5">
    <dataValidation type="list" allowBlank="1" showInputMessage="1" showErrorMessage="1" sqref="D6:D8" xr:uid="{2B5E764E-7583-447C-B748-FB19D467AECD}">
      <formula1>"Sì"</formula1>
    </dataValidation>
    <dataValidation type="list" allowBlank="1" showInputMessage="1" showErrorMessage="1" sqref="C10" xr:uid="{CBF2B65C-852B-4952-9767-3A9E9F6C5471}">
      <formula1>"Q, AS, A, B1, B2S, B2, C1S, C1, C2, C3, D1,D2,E"</formula1>
    </dataValidation>
    <dataValidation type="list" allowBlank="1" showInputMessage="1" showErrorMessage="1" sqref="C21:C24" xr:uid="{7025EBA1-F2D6-4C3C-B247-04FBA95CB7B2}">
      <formula1>"Sì, No"</formula1>
    </dataValidation>
    <dataValidation type="list" allowBlank="1" showInputMessage="1" showErrorMessage="1" sqref="D2" xr:uid="{E2A981B0-5FEC-4537-956D-2A372BE47B80}">
      <formula1>"500,1000,2500,5000,10000"</formula1>
    </dataValidation>
    <dataValidation type="list" allowBlank="1" showInputMessage="1" showErrorMessage="1" sqref="D25" xr:uid="{71052ED1-E653-45A4-A329-B2811C428BA2}">
      <formula1>"3000,5000,10000"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Diarena</dc:creator>
  <cp:lastModifiedBy>Nicolas Diarena</cp:lastModifiedBy>
  <dcterms:created xsi:type="dcterms:W3CDTF">2026-07-21T11:19:23Z</dcterms:created>
  <dcterms:modified xsi:type="dcterms:W3CDTF">2026-09-03T08:10:32Z</dcterms:modified>
</cp:coreProperties>
</file>